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0b455f1b7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5c4b657d79c94161"/>
    <x:sheet xmlns:r="http://schemas.openxmlformats.org/officeDocument/2006/relationships" name="Practice demand" sheetId="2" r:id="Rd7db9b8ff7844555"/>
    <x:sheet xmlns:r="http://schemas.openxmlformats.org/officeDocument/2006/relationships" name="Simulated responses" sheetId="3" r:id="R106444aa7709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BBD &quot;#,##0.00;(&quot;BBD &quot;#,##0.00);&quot;BBD &quot;0.00"/>
    <x:numFmt numFmtId="201" formatCode="0.0"/>
    <x:numFmt numFmtId="202" formatCode="0.0%"/>
  </x:numFmts>
  <x:fonts count="6">
    <x:font>
      <x:sz val="11"/>
      <x:name val="Carlito"/>
    </x:font>
    <x:font>
      <x:sz val="11"/>
      <x:color rgb="FF182B3A"/>
      <x:name val="Arial"/>
    </x:font>
    <x:font>
      <x:b/>
      <x:sz val="16"/>
      <x:color rgb="FF182B3A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182B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  <x:fill>
      <x:patternFill patternType="solid">
        <x:fgColor rgb="FFE7EFF6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3df60a006468a" /><Relationship Type="http://schemas.openxmlformats.org/officeDocument/2006/relationships/theme" Target="/xl/theme/theme1.xml" Id="R37e8ccef9b3c49fd" /><Relationship Type="http://schemas.openxmlformats.org/officeDocument/2006/relationships/sharedStrings" Target="/xl/sharedStrings.xml" Id="Rb578614bc0974fbc" /><Relationship Type="http://schemas.openxmlformats.org/officeDocument/2006/relationships/worksheet" Target="/xl/worksheets/sheet1.xml" Id="R5c4b657d79c94161" /><Relationship Type="http://schemas.openxmlformats.org/officeDocument/2006/relationships/worksheet" Target="/xl/worksheets/sheet2.xml" Id="Rd7db9b8ff7844555" /><Relationship Type="http://schemas.openxmlformats.org/officeDocument/2006/relationships/worksheet" Target="/xl/worksheets/sheet3.xml" Id="R106444aa770941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1" hidden="0" customWidth="1"/>
    <x:col min="3" max="3" width="21" hidden="0" customWidth="1"/>
    <x:col min="4" max="4" width="3" hidden="0" customWidth="1"/>
    <x:col min="5" max="5" width="38" hidden="0" customWidth="1"/>
    <x:col min="6" max="6" width="21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CampusPrint | Pricing practice</x:v>
      </x:c>
      <x:c r="B2" s="2"/>
      <x:c r="C2" s="2"/>
      <x:c r="D2" s="2"/>
      <x:c r="E2" s="2"/>
      <x:c r="F2" s="2"/>
    </x:row>
    <x:row r="3" ht="23" customHeight="1">
      <x:c r="A3" s="2" t="str">
        <x:v>Fictional BBD amounts. No verified campus rates or real payments.</x:v>
      </x:c>
      <x:c r="B3" s="2"/>
      <x:c r="C3" s="2"/>
      <x:c r="D3" s="2"/>
      <x:c r="E3" s="2"/>
      <x:c r="F3" s="2"/>
    </x:row>
    <x:row r="4" ht="23" customHeight="1">
      <x:c r="A4" s="2" t="str">
        <x:v>Edit yellow cells. Compare the same order using both printing sources.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28" customHeight="1">
      <x:c r="A6" s="5" t="str">
        <x:v>Order input</x:v>
      </x:c>
      <x:c r="B6" s="5" t="str">
        <x:v>Value</x:v>
      </x:c>
      <x:c r="C6" s="5" t="str">
        <x:v>Meaning</x:v>
      </x:c>
      <x:c r="D6" s="2"/>
      <x:c r="E6" s="5" t="str">
        <x:v>Practice assumption</x:v>
      </x:c>
      <x:c r="F6" s="5" t="str">
        <x:v>Editable value</x:v>
      </x:c>
    </x:row>
    <x:row r="7" ht="23" customHeight="1">
      <x:c r="A7" s="2" t="str">
        <x:v>Pages per copy</x:v>
      </x:c>
      <x:c r="B7" s="7" t="n">
        <x:v>10</x:v>
      </x:c>
      <x:c r="C7" s="2" t="str">
        <x:v>Printed document pages</x:v>
      </x:c>
      <x:c r="D7" s="2"/>
      <x:c r="E7" s="2" t="str">
        <x:v>Paper / sheet</x:v>
      </x:c>
      <x:c r="F7" s="8" t="n">
        <x:v>0.03</x:v>
      </x:c>
    </x:row>
    <x:row r="8" ht="23" customHeight="1">
      <x:c r="A8" s="2" t="str">
        <x:v>Copies</x:v>
      </x:c>
      <x:c r="B8" s="7" t="n">
        <x:v>2</x:v>
      </x:c>
      <x:c r="C8" s="2" t="str">
        <x:v>Complete copies</x:v>
      </x:c>
      <x:c r="D8" s="2"/>
      <x:c r="E8" s="2" t="str">
        <x:v>B&amp;W ink / printed side</x:v>
      </x:c>
      <x:c r="F8" s="8" t="n">
        <x:v>0.07</x:v>
      </x:c>
    </x:row>
    <x:row r="9" ht="23" customHeight="1">
      <x:c r="A9" s="2" t="str">
        <x:v>Colour mode</x:v>
      </x:c>
      <x:c r="B9" s="7" t="str">
        <x:v>Black-and-white</x:v>
      </x:c>
      <x:c r="C9" s="2" t="str">
        <x:v>One mode per order</x:v>
      </x:c>
      <x:c r="D9" s="2"/>
      <x:c r="E9" s="2" t="str">
        <x:v>Colour ink / printed side</x:v>
      </x:c>
      <x:c r="F9" s="8" t="n">
        <x:v>0.3</x:v>
      </x:c>
    </x:row>
    <x:row r="10" ht="23" customHeight="1">
      <x:c r="A10" s="2" t="str">
        <x:v>Sidedness</x:v>
      </x:c>
      <x:c r="B10" s="7" t="str">
        <x:v>Double-sided</x:v>
      </x:c>
      <x:c r="C10" s="2" t="str">
        <x:v>Per copy</x:v>
      </x:c>
      <x:c r="D10" s="2"/>
      <x:c r="E10" s="2" t="str">
        <x:v>Equipment / printed side</x:v>
      </x:c>
      <x:c r="F10" s="8" t="n">
        <x:v>0.02</x:v>
      </x:c>
    </x:row>
    <x:row r="11" ht="23" customHeight="1">
      <x:c r="A11" s="2"/>
      <x:c r="B11" s="2"/>
      <x:c r="C11" s="2"/>
      <x:c r="D11" s="2"/>
      <x:c r="E11" s="2" t="str">
        <x:v>Operator minutes / order</x:v>
      </x:c>
      <x:c r="F11" s="9" t="n">
        <x:v>5</x:v>
      </x:c>
    </x:row>
    <x:row r="12" ht="23" customHeight="1">
      <x:c r="A12" s="2" t="str">
        <x:v>Input status</x:v>
      </x:c>
      <x:c r="B12" s="2" t="str">
        <x:f>IF(AND(ISNUMBER(B7),ISNUMBER(B8),B7&gt;=1,B8&gt;=1,B7=INT(B7),B8=INT(B8),OR(B9="Black-and-white",B9="Colour"),OR(B10="Single-sided",B10="Double-sided"),COUNT(F7:F17)=11,MIN(F7:F17)&gt;=0),"Ready","Check inputs")</x:f>
        <x:v>Ready</x:v>
      </x:c>
      <x:c r="C12" s="2"/>
      <x:c r="D12" s="2"/>
      <x:c r="E12" s="2" t="str">
        <x:v>Operator BBD / hour</x:v>
      </x:c>
      <x:c r="F12" s="8" t="n">
        <x:v>12</x:v>
      </x:c>
    </x:row>
    <x:row r="13" ht="23" customHeight="1">
      <x:c r="A13" s="2" t="str">
        <x:v>Printed sides</x:v>
      </x:c>
      <x:c r="B13" s="2" t="n">
        <x:f>IF(B12="Ready",B7*B8,"n.a.")</x:f>
        <x:v>20</x:v>
      </x:c>
      <x:c r="C13" s="2"/>
      <x:c r="D13" s="2"/>
      <x:c r="E13" s="2" t="str">
        <x:v>Campus B&amp;W / printed side</x:v>
      </x:c>
      <x:c r="F13" s="8" t="n">
        <x:v>0.2</x:v>
      </x:c>
    </x:row>
    <x:row r="14" ht="23" customHeight="1">
      <x:c r="A14" s="2" t="str">
        <x:v>Paper sheets</x:v>
      </x:c>
      <x:c r="B14" s="2" t="n">
        <x:f>IF(B12="Ready",IF(B10="Double-sided",ROUNDUP(B7/2,0),B7)*B8,"n.a.")</x:f>
        <x:v>10</x:v>
      </x:c>
      <x:c r="C14" s="2"/>
      <x:c r="D14" s="2"/>
      <x:c r="E14" s="2" t="str">
        <x:v>Campus colour / printed side</x:v>
      </x:c>
      <x:c r="F14" s="8" t="n">
        <x:v>0.75</x:v>
      </x:c>
    </x:row>
    <x:row r="15" ht="23" customHeight="1">
      <x:c r="A15" s="2"/>
      <x:c r="B15" s="2"/>
      <x:c r="C15" s="2"/>
      <x:c r="D15" s="2"/>
      <x:c r="E15" s="2" t="str">
        <x:v>Selling B&amp;W / printed side</x:v>
      </x:c>
      <x:c r="F15" s="8" t="n">
        <x:v>0.25</x:v>
      </x:c>
    </x:row>
    <x:row r="16" ht="23" customHeight="1">
      <x:c r="A16" s="2"/>
      <x:c r="B16" s="2"/>
      <x:c r="C16" s="2"/>
      <x:c r="D16" s="2"/>
      <x:c r="E16" s="2" t="str">
        <x:v>Selling colour / printed side</x:v>
      </x:c>
      <x:c r="F16" s="8" t="n">
        <x:v>0.9</x:v>
      </x:c>
    </x:row>
    <x:row r="17" ht="28" customHeight="1">
      <x:c r="A17" s="5" t="str">
        <x:v>Assisted order comparison</x:v>
      </x:c>
      <x:c r="B17" s="5" t="str">
        <x:v>Own printer</x:v>
      </x:c>
      <x:c r="C17" s="5" t="str">
        <x:v>Campus printing</x:v>
      </x:c>
      <x:c r="D17" s="2"/>
      <x:c r="E17" s="2" t="str">
        <x:v>Assistance fee / order</x:v>
      </x:c>
      <x:c r="F17" s="8" t="n">
        <x:v>2</x:v>
      </x:c>
    </x:row>
    <x:row r="18" ht="23" customHeight="1">
      <x:c r="A18" s="2" t="str">
        <x:v>Paper cost</x:v>
      </x:c>
      <x:c r="B18" s="10" t="n">
        <x:f>IF($B$12="Ready",B14*$F$7,"n.a.")</x:f>
        <x:v>0.3</x:v>
      </x:c>
      <x:c r="C18" s="10" t="n">
        <x:f>IF($B$12="Ready",0,"n.a.")</x:f>
        <x:v>0</x:v>
      </x:c>
      <x:c r="D18" s="2"/>
      <x:c r="E18" s="2"/>
      <x:c r="F18" s="2"/>
    </x:row>
    <x:row r="19" ht="23" customHeight="1">
      <x:c r="A19" s="2" t="str">
        <x:v>Ink / campus printing charge</x:v>
      </x:c>
      <x:c r="B19" s="10" t="n">
        <x:f>IF($B$12="Ready",B13*IF(B9="Colour",$F$9,$F$8),"n.a.")</x:f>
        <x:v>1.4000000000000001</x:v>
      </x:c>
      <x:c r="C19" s="10" t="n">
        <x:f>IF($B$12="Ready",B13*IF(B9="Colour",$F$14,$F$13),"n.a.")</x:f>
        <x:v>4</x:v>
      </x:c>
      <x:c r="D19" s="2"/>
      <x:c r="E19" s="2"/>
      <x:c r="F19" s="2"/>
    </x:row>
    <x:row r="20" ht="23" customHeight="1">
      <x:c r="A20" s="2" t="str">
        <x:v>Equipment allowance</x:v>
      </x:c>
      <x:c r="B20" s="10" t="n">
        <x:f>IF($B$12="Ready",B13*$F$10,"n.a.")</x:f>
        <x:v>0.4</x:v>
      </x:c>
      <x:c r="C20" s="10" t="n">
        <x:f>IF($B$12="Ready",0,"n.a.")</x:f>
        <x:v>0</x:v>
      </x:c>
      <x:c r="D20" s="2"/>
      <x:c r="E20" s="2"/>
      <x:c r="F20" s="2"/>
    </x:row>
    <x:row r="21" ht="23" customHeight="1">
      <x:c r="A21" s="2" t="str">
        <x:v>Operator time cost</x:v>
      </x:c>
      <x:c r="B21" s="10" t="n">
        <x:f>IF($B$12="Ready",$F$11/60*$F$12,"n.a.")</x:f>
        <x:v>1</x:v>
      </x:c>
      <x:c r="C21" s="10" t="n">
        <x:f>IF($B$12="Ready",B21,"n.a.")</x:f>
        <x:v>1</x:v>
      </x:c>
      <x:c r="D21" s="2"/>
      <x:c r="E21" s="2"/>
      <x:c r="F21" s="2"/>
    </x:row>
    <x:row r="22" ht="23" customHeight="1">
      <x:c r="A22" s="14" t="str">
        <x:v>Total modelled cost</x:v>
      </x:c>
      <x:c r="B22" s="15" t="n">
        <x:f>IF($B$12="Ready",SUM(B18:B21),"n.a.")</x:f>
        <x:v>3.1</x:v>
      </x:c>
      <x:c r="C22" s="15" t="n">
        <x:f>IF($B$12="Ready",SUM(C18:C21),"n.a.")</x:f>
        <x:v>5</x:v>
      </x:c>
      <x:c r="D22" s="2"/>
      <x:c r="E22" s="2"/>
      <x:c r="F22" s="2"/>
    </x:row>
    <x:row r="23" ht="23" customHeight="1">
      <x:c r="A23" s="2"/>
      <x:c r="B23" s="10"/>
      <x:c r="C23" s="10"/>
      <x:c r="D23" s="2"/>
      <x:c r="E23" s="2"/>
      <x:c r="F23" s="2"/>
    </x:row>
    <x:row r="24" ht="23" customHeight="1">
      <x:c r="A24" s="2" t="str">
        <x:v>Printing revenue estimate</x:v>
      </x:c>
      <x:c r="B24" s="10" t="n">
        <x:f>IF($B$12="Ready",B13*IF(B9="Colour",$F$16,$F$15),"n.a.")</x:f>
        <x:v>5</x:v>
      </x:c>
      <x:c r="C24" s="10" t="n">
        <x:f>IF($B$12="Ready",B24,"n.a.")</x:f>
        <x:v>5</x:v>
      </x:c>
      <x:c r="D24" s="2"/>
      <x:c r="E24" s="2"/>
      <x:c r="F24" s="2"/>
    </x:row>
    <x:row r="25" ht="23" customHeight="1">
      <x:c r="A25" s="2" t="str">
        <x:v>Assistance fee estimate</x:v>
      </x:c>
      <x:c r="B25" s="10" t="n">
        <x:f>IF($B$12="Ready",$F$17,"n.a.")</x:f>
        <x:v>2</x:v>
      </x:c>
      <x:c r="C25" s="10" t="n">
        <x:f>IF($B$12="Ready",B25,"n.a.")</x:f>
        <x:v>2</x:v>
      </x:c>
      <x:c r="D25" s="2"/>
      <x:c r="E25" s="2"/>
      <x:c r="F25" s="2"/>
    </x:row>
    <x:row r="26" ht="23" customHeight="1">
      <x:c r="A26" s="14" t="str">
        <x:v>Total revenue estimate</x:v>
      </x:c>
      <x:c r="B26" s="15" t="n">
        <x:f>IF($B$12="Ready",SUM(B24:B25),"n.a.")</x:f>
        <x:v>7</x:v>
      </x:c>
      <x:c r="C26" s="15" t="n">
        <x:f>IF($B$12="Ready",SUM(C24:C25),"n.a.")</x:f>
        <x:v>7</x:v>
      </x:c>
      <x:c r="D26" s="2"/>
      <x:c r="E26" s="2"/>
      <x:c r="F26" s="2"/>
    </x:row>
    <x:row r="27" ht="23" customHeight="1">
      <x:c r="A27" s="2"/>
      <x:c r="B27" s="10"/>
      <x:c r="C27" s="10"/>
      <x:c r="D27" s="2"/>
      <x:c r="E27" s="2"/>
      <x:c r="F27" s="2"/>
    </x:row>
    <x:row r="28" ht="23" customHeight="1">
      <x:c r="A28" s="14" t="str">
        <x:v>Revenue less modelled costs</x:v>
      </x:c>
      <x:c r="B28" s="15" t="n">
        <x:f>IF($B$12="Ready",B26-B22,"n.a.")</x:f>
        <x:v>3.9</x:v>
      </x:c>
      <x:c r="C28" s="15" t="n">
        <x:f>IF($B$12="Ready",C26-C22,"n.a.")</x:f>
        <x:v>2</x:v>
      </x:c>
      <x:c r="D28" s="2"/>
      <x:c r="E28" s="2"/>
      <x:c r="F28" s="2"/>
    </x:row>
    <x:row r="29" ht="23" customHeight="1">
      <x:c r="A29" s="2" t="str">
        <x:v>Share of revenue remaining</x:v>
      </x:c>
      <x:c r="B29" s="11" t="n">
        <x:f>IF($B$12="Ready",IF(B26=0,"n.a.",B28/B26),"n.a.")</x:f>
        <x:v>0.5571428571428572</x:v>
      </x:c>
      <x:c r="C29" s="11" t="n">
        <x:f>IF($B$12="Ready",IF(C26=0,"n.a.",C28/C26),"n.a.")</x:f>
        <x:v>0.2857142857142857</x:v>
      </x:c>
      <x:c r="D29" s="2"/>
      <x:c r="E29" s="2"/>
      <x:c r="F29" s="2"/>
    </x:row>
    <x:row r="30" ht="23" customHeight="1">
      <x:c r="A30" s="2"/>
      <x:c r="B30" s="2"/>
      <x:c r="C30" s="2"/>
      <x:c r="D30" s="2"/>
      <x:c r="E30" s="2"/>
      <x:c r="F30" s="2"/>
    </x:row>
    <x:row r="31" ht="23" customHeight="1">
      <x:c r="A31" s="2"/>
      <x:c r="B31" s="2"/>
      <x:c r="C31" s="2"/>
      <x:c r="D31" s="2"/>
      <x:c r="E31" s="2"/>
      <x:c r="F31" s="2"/>
    </x:row>
    <x:row r="32" ht="23" customHeight="1">
      <x:c r="A32" s="2" t="str">
        <x:v>Independent campus printing</x:v>
      </x:c>
      <x:c r="B32" s="2"/>
      <x:c r="C32" s="2"/>
      <x:c r="D32" s="2"/>
      <x:c r="E32" s="2"/>
      <x:c r="F32" s="2"/>
    </x:row>
    <x:row r="33" ht="23" customHeight="1">
      <x:c r="A33" s="2" t="str">
        <x:v>Student pays campus estimate</x:v>
      </x:c>
      <x:c r="B33" s="10" t="n">
        <x:f>IF($B$12="Ready",C19,"n.a.")</x:f>
        <x:v>4</x:v>
      </x:c>
      <x:c r="C33" s="2"/>
      <x:c r="D33" s="2"/>
      <x:c r="E33" s="2"/>
      <x:c r="F33" s="2"/>
    </x:row>
    <x:row r="34" ht="23" customHeight="1">
      <x:c r="A34" s="2"/>
      <x:c r="B34" s="2"/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  <x:row r="36" ht="23" customHeight="1">
      <x:c r="A36" s="2" t="str">
        <x:v>Source: practice assumptions agreed in the CampusPrint conversation, 24 September 2026.</x:v>
      </x:c>
      <x:c r="B36" s="2"/>
      <x:c r="C36" s="2"/>
      <x:c r="D36" s="2"/>
      <x:c r="E36" s="2"/>
      <x:c r="F36" s="2"/>
    </x:row>
    <x:row r="37" ht="23" customHeight="1">
      <x:c r="A37" s="2" t="str">
        <x:v>Campus charges include paper. Own-printer equipment allowance is separate from ink.</x:v>
      </x:c>
      <x:c r="B37" s="2"/>
      <x:c r="C37" s="2"/>
      <x:c r="D37" s="2"/>
      <x:c r="E37" s="2"/>
      <x:c r="F37" s="2"/>
    </x:row>
    <x:row r="38" ht="23" customHeight="1">
      <x:c r="A38" s="2" t="str">
        <x:v>Double-sided jobs round sheets up for EACH copy; printed sides do not decrease.</x:v>
      </x:c>
      <x:c r="B38" s="2"/>
      <x:c r="C38" s="2"/>
      <x:c r="D38" s="2"/>
      <x:c r="E38" s="2"/>
      <x:c r="F38" s="2"/>
    </x:row>
    <x:row r="39" ht="23" customHeight="1">
      <x:c r="A39" s="2" t="str">
        <x:v>Assistance is charged once per order. Independent campus printing has no assistance fee.</x:v>
      </x:c>
      <x:c r="B39" s="2"/>
      <x:c r="C39" s="2"/>
      <x:c r="D39" s="2"/>
      <x:c r="E39" s="2"/>
      <x:c r="F39" s="2"/>
    </x:row>
    <x:row r="40" ht="23" customHeight="1">
      <x:c r="A40" s="2" t="str">
        <x:v>Amounts are rounded for display only. Rates do not include an additional tax calculation.</x:v>
      </x:c>
      <x:c r="B40" s="2"/>
      <x:c r="C40" s="2"/>
      <x:c r="D40" s="2"/>
      <x:c r="E40" s="2"/>
      <x:c r="F40" s="2"/>
    </x:row>
    <x:row r="41" ht="23" customHeight="1">
      <x:c r="A41" s="2" t="str">
        <x:v>Revenue less modelled costs is not net profit: rent, travel, waste and other costs are omitted.</x:v>
      </x:c>
      <x:c r="B41" s="2"/>
      <x:c r="C41" s="2"/>
      <x:c r="D41" s="2"/>
      <x:c r="E41" s="2"/>
      <x:c r="F41" s="2"/>
    </x:row>
    <x:row r="42" ht="23" customHeight="1">
      <x:c r="A42" s="2" t="str">
        <x:v>Operator time is a fixed five-minute practice assumption; larger orders may take longer.</x:v>
      </x:c>
      <x:c r="B42" s="2"/>
      <x:c r="C42" s="2"/>
      <x:c r="D42" s="2"/>
      <x:c r="E42" s="2"/>
      <x:c r="F42" s="2"/>
    </x:row>
    <x:row r="43" ht="23" customHeight="1">
      <x:c r="A43" s="2" t="str">
        <x:v>No real sales forecast is derived from the simulated student responses.</x:v>
      </x:c>
      <x:c r="B43" s="2"/>
      <x:c r="C43" s="2"/>
      <x:c r="D43" s="2"/>
      <x:c r="E43" s="2"/>
      <x:c r="F43" s="2"/>
    </x:row>
    <x:row r="44" ht="23" customHeight="1">
      <x:c r="A44" s="2"/>
      <x:c r="B44" s="2"/>
      <x:c r="C44" s="2"/>
      <x:c r="D44" s="2"/>
      <x:c r="E44" s="2"/>
      <x:c r="F44" s="2"/>
    </x:row>
    <x:row r="45" ht="23" customHeight="1">
      <x:c r="A45" s="2"/>
      <x:c r="B45" s="2"/>
      <x:c r="C45" s="2"/>
      <x:c r="D45" s="2"/>
      <x:c r="E45" s="2"/>
      <x:c r="F45" s="2"/>
    </x:row>
    <x:row r="46" ht="23" customHeight="1">
      <x:c r="A46" s="2"/>
      <x:c r="B46" s="2"/>
      <x:c r="C46" s="2"/>
      <x:c r="D46" s="2"/>
      <x:c r="E46" s="2"/>
      <x:c r="F46" s="2"/>
    </x:row>
    <x:row r="47" ht="23" customHeight="1">
      <x:c r="A47" s="2"/>
      <x:c r="B47" s="2"/>
      <x:c r="C47" s="2"/>
      <x:c r="D47" s="2"/>
      <x:c r="E47" s="2"/>
      <x:c r="F47" s="2"/>
    </x:row>
    <x:row r="48" ht="23" customHeight="1">
      <x:c r="A48" s="2"/>
      <x:c r="B48" s="2"/>
      <x:c r="C48" s="2"/>
      <x:c r="D48" s="2"/>
      <x:c r="E48" s="2"/>
      <x:c r="F48" s="2"/>
    </x:row>
    <x:row r="49" ht="23" customHeight="1">
      <x:c r="A49" s="2"/>
      <x:c r="B49" s="2"/>
      <x:c r="C49" s="2"/>
      <x:c r="D49" s="2"/>
      <x:c r="E49" s="2"/>
      <x:c r="F49" s="2"/>
    </x:row>
    <x:row r="50" ht="23" customHeight="1">
      <x:c r="A50" s="2"/>
      <x:c r="B50" s="2"/>
      <x:c r="C50" s="2"/>
      <x:c r="D50" s="2"/>
      <x:c r="E50" s="2"/>
      <x:c r="F50" s="2"/>
    </x:row>
    <x:row r="51" ht="23" customHeight="1">
      <x:c r="A51" s="2"/>
      <x:c r="B51" s="2"/>
      <x:c r="C51" s="2"/>
      <x:c r="D51" s="2"/>
      <x:c r="E51" s="2"/>
      <x:c r="F51" s="2"/>
    </x:row>
    <x:row r="52" ht="23" customHeight="1">
      <x:c r="A52" s="2"/>
      <x:c r="B52" s="2"/>
      <x:c r="C52" s="2"/>
      <x:c r="D52" s="2"/>
      <x:c r="E52" s="2"/>
      <x:c r="F52" s="2"/>
    </x:row>
  </x:sheetData>
  <x:conditionalFormatting sqref="B28:C28">
    <x:cfRule type="cellIs" dxfId="0" priority="1" operator="lessThan">
      <x:formula>0</x:formula>
    </x:cfRule>
  </x:conditionalFormatting>
  <x:dataValidations count="5">
    <x:dataValidation type="whole" operator="between" sqref="B7">
      <x:formula1>1</x:formula1>
      <x:formula2>10000</x:formula2>
    </x:dataValidation>
    <x:dataValidation type="whole" operator="between" sqref="B8">
      <x:formula1>1</x:formula1>
      <x:formula2>10000</x:formula2>
    </x:dataValidation>
    <x:dataValidation type="list" sqref="B9">
      <x:formula1>"Black-and-white,Colour"</x:formula1>
    </x:dataValidation>
    <x:dataValidation type="list" sqref="B10">
      <x:formula1>"Single-sided,Double-sided"</x:formula1>
    </x:dataValidation>
    <x:dataValidation type="decimal" operator="greaterThanOrEqual" sqref="F7:F1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3" hidden="0" customWidth="1"/>
    <x:col min="5" max="5" width="23" hidden="0" customWidth="1"/>
    <x:col min="6" max="6" width="15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CampusPrint | Simulated demand</x:v>
      </x:c>
      <x:c r="B2" s="2"/>
      <x:c r="C2" s="2"/>
      <x:c r="D2" s="2"/>
      <x:c r="E2" s="2"/>
      <x:c r="F2" s="2"/>
    </x:row>
    <x:row r="3" ht="23" customHeight="1">
      <x:c r="A3" s="2" t="str">
        <x:v>55 AI-generated personas; no real students surveyed. This is not evidence of demand.</x:v>
      </x:c>
      <x:c r="B3" s="2"/>
      <x:c r="C3" s="2"/>
      <x:c r="D3" s="2"/>
      <x:c r="E3" s="2"/>
      <x:c r="F3" s="2"/>
    </x:row>
    <x:row r="4" ht="23" customHeight="1">
      <x:c r="A4" s="2"/>
      <x:c r="B4" s="2"/>
      <x:c r="C4" s="2"/>
      <x:c r="D4" s="2"/>
      <x:c r="E4" s="2"/>
      <x:c r="F4" s="2"/>
    </x:row>
    <x:row r="5" ht="23" customHeight="1">
      <x:c r="A5" s="2" t="str">
        <x:v>Recorded personas</x:v>
      </x:c>
      <x:c r="B5" s="2" t="n">
        <x:f>COUNTA('Simulated responses'!A6:A60)</x:f>
        <x:v>55</x:v>
      </x:c>
      <x:c r="C5" s="2"/>
      <x:c r="D5" s="2"/>
      <x:c r="E5" s="2"/>
      <x:c r="F5" s="2"/>
    </x:row>
    <x:row r="6" ht="23" customHeight="1">
      <x:c r="A6" s="2"/>
      <x:c r="B6" s="2"/>
      <x:c r="C6" s="2"/>
      <x:c r="D6" s="2"/>
      <x:c r="E6" s="2"/>
      <x:c r="F6" s="2"/>
    </x:row>
    <x:row r="7" ht="28" customHeight="1">
      <x:c r="A7" s="5" t="str">
        <x:v>Preferred support</x:v>
      </x:c>
      <x:c r="B7" s="5" t="str">
        <x:v>Count</x:v>
      </x:c>
      <x:c r="C7" s="5" t="str">
        <x:v>Share</x:v>
      </x:c>
      <x:c r="D7" s="2"/>
      <x:c r="E7" s="5" t="str">
        <x:v>Printing frequency</x:v>
      </x:c>
      <x:c r="F7" s="5" t="str">
        <x:v>Count</x:v>
      </x:c>
    </x:row>
    <x:row r="8" ht="23" customHeight="1">
      <x:c r="A8" s="2" t="str">
        <x:v>Self-service instructions</x:v>
      </x:c>
      <x:c r="B8" s="2" t="n">
        <x:f>COUNTIFS('Simulated responses'!$C$6:$C$60,A8)</x:f>
        <x:v>15</x:v>
      </x:c>
      <x:c r="C8" s="11" t="n">
        <x:f>IF($B$5=0,"n.a.",B8/$B$5)</x:f>
        <x:v>0.2727272727272727</x:v>
      </x:c>
      <x:c r="D8" s="2"/>
      <x:c r="E8" s="2" t="str">
        <x:v>Daily</x:v>
      </x:c>
      <x:c r="F8" s="2" t="n">
        <x:f>COUNTIFS('Simulated responses'!$B$6:$B$60,E8)</x:f>
        <x:v>4</x:v>
      </x:c>
    </x:row>
    <x:row r="9" ht="23" customHeight="1">
      <x:c r="A9" s="2" t="str">
        <x:v>Assisted printing</x:v>
      </x:c>
      <x:c r="B9" s="2" t="n">
        <x:f>COUNTIFS('Simulated responses'!$C$6:$C$60,A9)</x:f>
        <x:v>16</x:v>
      </x:c>
      <x:c r="C9" s="11" t="n">
        <x:f>IF($B$5=0,"n.a.",B9/$B$5)</x:f>
        <x:v>0.2909090909090909</x:v>
      </x:c>
      <x:c r="D9" s="2"/>
      <x:c r="E9" s="2" t="str">
        <x:v>Weekly</x:v>
      </x:c>
      <x:c r="F9" s="2" t="n">
        <x:f>COUNTIFS('Simulated responses'!$B$6:$B$60,E9)</x:f>
        <x:v>21</x:v>
      </x:c>
    </x:row>
    <x:row r="10" ht="23" customHeight="1">
      <x:c r="A10" s="2" t="str">
        <x:v>Either</x:v>
      </x:c>
      <x:c r="B10" s="2" t="n">
        <x:f>COUNTIFS('Simulated responses'!$C$6:$C$60,A10)</x:f>
        <x:v>11</x:v>
      </x:c>
      <x:c r="C10" s="11" t="n">
        <x:f>IF($B$5=0,"n.a.",B10/$B$5)</x:f>
        <x:v>0.2</x:v>
      </x:c>
      <x:c r="D10" s="2"/>
      <x:c r="E10" s="2" t="str">
        <x:v>Monthly</x:v>
      </x:c>
      <x:c r="F10" s="2" t="n">
        <x:f>COUNTIFS('Simulated responses'!$B$6:$B$60,E10)</x:f>
        <x:v>18</x:v>
      </x:c>
    </x:row>
    <x:row r="11" ht="23" customHeight="1">
      <x:c r="A11" s="2" t="str">
        <x:v>Neither</x:v>
      </x:c>
      <x:c r="B11" s="2" t="n">
        <x:f>COUNTIFS('Simulated responses'!$C$6:$C$60,A11)</x:f>
        <x:v>13</x:v>
      </x:c>
      <x:c r="C11" s="11" t="n">
        <x:f>IF($B$5=0,"n.a.",B11/$B$5)</x:f>
        <x:v>0.23636363636363636</x:v>
      </x:c>
      <x:c r="D11" s="2"/>
      <x:c r="E11" s="2" t="str">
        <x:v>Rarely</x:v>
      </x:c>
      <x:c r="F11" s="2" t="n">
        <x:f>COUNTIFS('Simulated responses'!$B$6:$B$60,E11)</x:f>
        <x:v>10</x:v>
      </x:c>
    </x:row>
    <x:row r="12" ht="23" customHeight="1">
      <x:c r="A12" s="2"/>
      <x:c r="B12" s="2"/>
      <x:c r="C12" s="2"/>
      <x:c r="D12" s="2"/>
      <x:c r="E12" s="2" t="str">
        <x:v>Never</x:v>
      </x:c>
      <x:c r="F12" s="2" t="n">
        <x:f>COUNTIFS('Simulated responses'!$B$6:$B$60,E12)</x:f>
        <x:v>2</x:v>
      </x:c>
    </x:row>
    <x:row r="13" ht="23" customHeight="1">
      <x:c r="A13" s="2"/>
      <x:c r="B13" s="2"/>
      <x:c r="C13" s="2"/>
      <x:c r="D13" s="2"/>
      <x:c r="E13" s="2"/>
      <x:c r="F13" s="2"/>
    </x:row>
    <x:row r="14" ht="23" customHeight="1">
      <x:c r="A14" s="2"/>
      <x:c r="B14" s="2"/>
      <x:c r="C14" s="2"/>
      <x:c r="D14" s="2"/>
      <x:c r="E14" s="2"/>
      <x:c r="F14" s="2"/>
    </x:row>
    <x:row r="15" ht="28" customHeight="1">
      <x:c r="A15" s="5" t="str">
        <x:v>USB handover</x:v>
      </x:c>
      <x:c r="B15" s="5" t="str">
        <x:v>Count</x:v>
      </x:c>
      <x:c r="C15" s="2"/>
      <x:c r="D15" s="2"/>
      <x:c r="E15" s="2"/>
      <x:c r="F15" s="2"/>
    </x:row>
    <x:row r="16" ht="23" customHeight="1">
      <x:c r="A16" s="2" t="str">
        <x:v>USB works</x:v>
      </x:c>
      <x:c r="B16" s="2" t="n">
        <x:f>COUNTIFS('Simulated responses'!$D$6:$D$60,A16)</x:f>
        <x:v>48</x:v>
      </x:c>
      <x:c r="C16" s="2"/>
      <x:c r="D16" s="2"/>
      <x:c r="E16" s="2"/>
      <x:c r="F16" s="2"/>
    </x:row>
    <x:row r="17" ht="23" customHeight="1">
      <x:c r="A17" s="2" t="str">
        <x:v>No USB drive</x:v>
      </x:c>
      <x:c r="B17" s="2" t="n">
        <x:f>COUNTIFS('Simulated responses'!$D$6:$D$60,A17)</x:f>
        <x:v>6</x:v>
      </x:c>
      <x:c r="C17" s="2"/>
      <x:c r="D17" s="2"/>
      <x:c r="E17" s="2"/>
      <x:c r="F17" s="2"/>
    </x:row>
    <x:row r="18" ht="35" customHeight="1">
      <x:c r="A18" s="16" t="str">
        <x:v>Prefers not to hand over USB</x:v>
      </x:c>
      <x:c r="B18" s="2" t="n">
        <x:f>COUNTIFS('Simulated responses'!$D$6:$D$60,A18)</x:f>
        <x:v>1</x:v>
      </x:c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 t="str">
        <x:v>Practice interpretation</x:v>
      </x:c>
      <x:c r="B21" s="2"/>
      <x:c r="C21" s="2"/>
      <x:c r="D21" s="2"/>
      <x:c r="E21" s="2"/>
      <x:c r="F21" s="2"/>
    </x:row>
    <x:row r="22" ht="23" customHeight="1">
      <x:c r="A22" s="2" t="str">
        <x:v>Use these counts to practise grouping responses, not to estimate market size or sales.</x:v>
      </x:c>
      <x:c r="B22" s="2"/>
      <x:c r="C22" s="2"/>
      <x:c r="D22" s="2"/>
      <x:c r="E22" s="2"/>
      <x:c r="F22" s="2"/>
    </x:row>
    <x:row r="23" ht="23" customHeight="1">
      <x:c r="A23" s="2" t="str">
        <x:v>Frequency does not tell us pages per order, willingness to pay, or likely conversion.</x:v>
      </x:c>
      <x:c r="B23" s="2"/>
      <x:c r="C23" s="2"/>
      <x:c r="D23" s="2"/>
      <x:c r="E23" s="2"/>
      <x:c r="F23" s="2"/>
    </x:row>
    <x:row r="24" ht="23" customHeight="1">
      <x:c r="A24" s="2" t="str">
        <x:v>Source: selected fields from the 55 fictional responses in this project conversation.</x:v>
      </x:c>
      <x:c r="B24" s="2"/>
      <x:c r="C24" s="2"/>
      <x:c r="D24" s="2"/>
      <x:c r="E24" s="2"/>
      <x:c r="F24" s="2"/>
    </x:row>
    <x:row r="25" ht="23" customHeight="1">
      <x:c r="A25" s="2"/>
      <x:c r="B25" s="2"/>
      <x:c r="C25" s="2"/>
      <x:c r="D25" s="2"/>
      <x:c r="E25" s="2"/>
      <x:c r="F25" s="2"/>
    </x:row>
    <x:row r="26" ht="23" customHeight="1">
      <x:c r="A26" s="2"/>
      <x:c r="B26" s="2"/>
      <x:c r="C26" s="2"/>
      <x:c r="D26" s="2"/>
      <x:c r="E26" s="2"/>
      <x:c r="F2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36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3" t="str">
        <x:v>Fictional student responses | Selected fields</x:v>
      </x:c>
      <x:c r="B2" s="2"/>
      <x:c r="C2" s="2"/>
      <x:c r="D2" s="2"/>
    </x:row>
    <x:row r="3" ht="23" customHeight="1">
      <x:c r="A3" s="2" t="str">
        <x:v>AI-generated practice data from the conversation; no real respondents.</x:v>
      </x:c>
      <x:c r="B3" s="2"/>
      <x:c r="C3" s="2"/>
      <x:c r="D3" s="2"/>
    </x:row>
    <x:row r="4" ht="23" customHeight="1">
      <x:c r="A4" s="2" t="str">
        <x:v>Original IDs retained. Only frequency, support preference and USB suitability are extracted.</x:v>
      </x:c>
      <x:c r="B4" s="2"/>
      <x:c r="C4" s="2"/>
      <x:c r="D4" s="2"/>
    </x:row>
    <x:row r="5" ht="28" customHeight="1">
      <x:c r="A5" s="5" t="str">
        <x:v>Persona ID</x:v>
      </x:c>
      <x:c r="B5" s="5" t="str">
        <x:v>Frequency</x:v>
      </x:c>
      <x:c r="C5" s="5" t="str">
        <x:v>Preferred support</x:v>
      </x:c>
      <x:c r="D5" s="5" t="str">
        <x:v>USB handover</x:v>
      </x:c>
    </x:row>
    <x:row r="6" ht="23" customHeight="1">
      <x:c r="A6" s="17" t="str">
        <x:v>S01</x:v>
      </x:c>
      <x:c r="B6" s="17" t="str">
        <x:v>Weekly</x:v>
      </x:c>
      <x:c r="C6" s="17" t="str">
        <x:v>Self-service instructions</x:v>
      </x:c>
      <x:c r="D6" s="17" t="str">
        <x:v>USB works</x:v>
      </x:c>
    </x:row>
    <x:row r="7" ht="23" customHeight="1">
      <x:c r="A7" s="2" t="str">
        <x:v>S02</x:v>
      </x:c>
      <x:c r="B7" s="2" t="str">
        <x:v>Monthly</x:v>
      </x:c>
      <x:c r="C7" s="2" t="str">
        <x:v>Assisted printing</x:v>
      </x:c>
      <x:c r="D7" s="2" t="str">
        <x:v>USB works</x:v>
      </x:c>
    </x:row>
    <x:row r="8" ht="23" customHeight="1">
      <x:c r="A8" s="17" t="str">
        <x:v>S03</x:v>
      </x:c>
      <x:c r="B8" s="17" t="str">
        <x:v>Daily</x:v>
      </x:c>
      <x:c r="C8" s="17" t="str">
        <x:v>Neither</x:v>
      </x:c>
      <x:c r="D8" s="17" t="str">
        <x:v>USB works</x:v>
      </x:c>
    </x:row>
    <x:row r="9" ht="23" customHeight="1">
      <x:c r="A9" s="2" t="str">
        <x:v>S04</x:v>
      </x:c>
      <x:c r="B9" s="2" t="str">
        <x:v>Weekly</x:v>
      </x:c>
      <x:c r="C9" s="2" t="str">
        <x:v>Assisted printing</x:v>
      </x:c>
      <x:c r="D9" s="2" t="str">
        <x:v>No USB drive</x:v>
      </x:c>
    </x:row>
    <x:row r="10" ht="23" customHeight="1">
      <x:c r="A10" s="17" t="str">
        <x:v>S05</x:v>
      </x:c>
      <x:c r="B10" s="17" t="str">
        <x:v>Rarely</x:v>
      </x:c>
      <x:c r="C10" s="17" t="str">
        <x:v>Either</x:v>
      </x:c>
      <x:c r="D10" s="17" t="str">
        <x:v>USB works</x:v>
      </x:c>
    </x:row>
    <x:row r="11" ht="23" customHeight="1">
      <x:c r="A11" s="2" t="str">
        <x:v>S06</x:v>
      </x:c>
      <x:c r="B11" s="2" t="str">
        <x:v>Monthly</x:v>
      </x:c>
      <x:c r="C11" s="2" t="str">
        <x:v>Self-service instructions</x:v>
      </x:c>
      <x:c r="D11" s="2" t="str">
        <x:v>USB works</x:v>
      </x:c>
    </x:row>
    <x:row r="12" ht="23" customHeight="1">
      <x:c r="A12" s="17" t="str">
        <x:v>S07</x:v>
      </x:c>
      <x:c r="B12" s="17" t="str">
        <x:v>Weekly</x:v>
      </x:c>
      <x:c r="C12" s="17" t="str">
        <x:v>Assisted printing</x:v>
      </x:c>
      <x:c r="D12" s="17" t="str">
        <x:v>USB works</x:v>
      </x:c>
    </x:row>
    <x:row r="13" ht="23" customHeight="1">
      <x:c r="A13" s="2" t="str">
        <x:v>S08</x:v>
      </x:c>
      <x:c r="B13" s="2" t="str">
        <x:v>Never</x:v>
      </x:c>
      <x:c r="C13" s="2" t="str">
        <x:v>Neither</x:v>
      </x:c>
      <x:c r="D13" s="2" t="str">
        <x:v>No USB drive</x:v>
      </x:c>
    </x:row>
    <x:row r="14" ht="23" customHeight="1">
      <x:c r="A14" s="17" t="str">
        <x:v>S09</x:v>
      </x:c>
      <x:c r="B14" s="17" t="str">
        <x:v>Weekly</x:v>
      </x:c>
      <x:c r="C14" s="17" t="str">
        <x:v>Self-service instructions</x:v>
      </x:c>
      <x:c r="D14" s="17" t="str">
        <x:v>USB works</x:v>
      </x:c>
    </x:row>
    <x:row r="15" ht="23" customHeight="1">
      <x:c r="A15" s="2" t="str">
        <x:v>S10</x:v>
      </x:c>
      <x:c r="B15" s="2" t="str">
        <x:v>Monthly</x:v>
      </x:c>
      <x:c r="C15" s="2" t="str">
        <x:v>Either</x:v>
      </x:c>
      <x:c r="D15" s="2" t="str">
        <x:v>USB works</x:v>
      </x:c>
    </x:row>
    <x:row r="16" ht="23" customHeight="1">
      <x:c r="A16" s="17" t="str">
        <x:v>S11</x:v>
      </x:c>
      <x:c r="B16" s="17" t="str">
        <x:v>Daily</x:v>
      </x:c>
      <x:c r="C16" s="17" t="str">
        <x:v>Neither</x:v>
      </x:c>
      <x:c r="D16" s="17" t="str">
        <x:v>USB works</x:v>
      </x:c>
    </x:row>
    <x:row r="17" ht="23" customHeight="1">
      <x:c r="A17" s="2" t="str">
        <x:v>S12</x:v>
      </x:c>
      <x:c r="B17" s="2" t="str">
        <x:v>Monthly</x:v>
      </x:c>
      <x:c r="C17" s="2" t="str">
        <x:v>Assisted printing</x:v>
      </x:c>
      <x:c r="D17" s="2" t="str">
        <x:v>USB works</x:v>
      </x:c>
    </x:row>
    <x:row r="18" ht="23" customHeight="1">
      <x:c r="A18" s="17" t="str">
        <x:v>S13</x:v>
      </x:c>
      <x:c r="B18" s="17" t="str">
        <x:v>Weekly</x:v>
      </x:c>
      <x:c r="C18" s="17" t="str">
        <x:v>Self-service instructions</x:v>
      </x:c>
      <x:c r="D18" s="17" t="str">
        <x:v>USB works</x:v>
      </x:c>
    </x:row>
    <x:row r="19" ht="23" customHeight="1">
      <x:c r="A19" s="2" t="str">
        <x:v>S14</x:v>
      </x:c>
      <x:c r="B19" s="2" t="str">
        <x:v>Rarely</x:v>
      </x:c>
      <x:c r="C19" s="2" t="str">
        <x:v>Self-service instructions</x:v>
      </x:c>
      <x:c r="D19" s="2" t="str">
        <x:v>USB works</x:v>
      </x:c>
    </x:row>
    <x:row r="20" ht="23" customHeight="1">
      <x:c r="A20" s="17" t="str">
        <x:v>S15</x:v>
      </x:c>
      <x:c r="B20" s="17" t="str">
        <x:v>Weekly</x:v>
      </x:c>
      <x:c r="C20" s="17" t="str">
        <x:v>Assisted printing</x:v>
      </x:c>
      <x:c r="D20" s="17" t="str">
        <x:v>USB works</x:v>
      </x:c>
    </x:row>
    <x:row r="21" ht="23" customHeight="1">
      <x:c r="A21" s="2" t="str">
        <x:v>S16</x:v>
      </x:c>
      <x:c r="B21" s="2" t="str">
        <x:v>Monthly</x:v>
      </x:c>
      <x:c r="C21" s="2" t="str">
        <x:v>Neither</x:v>
      </x:c>
      <x:c r="D21" s="2" t="str">
        <x:v>USB works</x:v>
      </x:c>
    </x:row>
    <x:row r="22" ht="23" customHeight="1">
      <x:c r="A22" s="17" t="str">
        <x:v>S17</x:v>
      </x:c>
      <x:c r="B22" s="17" t="str">
        <x:v>Weekly</x:v>
      </x:c>
      <x:c r="C22" s="17" t="str">
        <x:v>Self-service instructions</x:v>
      </x:c>
      <x:c r="D22" s="17" t="str">
        <x:v>USB works</x:v>
      </x:c>
    </x:row>
    <x:row r="23" ht="23" customHeight="1">
      <x:c r="A23" s="2" t="str">
        <x:v>S18</x:v>
      </x:c>
      <x:c r="B23" s="2" t="str">
        <x:v>Monthly</x:v>
      </x:c>
      <x:c r="C23" s="2" t="str">
        <x:v>Assisted printing</x:v>
      </x:c>
      <x:c r="D23" s="2" t="str">
        <x:v>USB works</x:v>
      </x:c>
    </x:row>
    <x:row r="24" ht="23" customHeight="1">
      <x:c r="A24" s="17" t="str">
        <x:v>S19</x:v>
      </x:c>
      <x:c r="B24" s="17" t="str">
        <x:v>Rarely</x:v>
      </x:c>
      <x:c r="C24" s="17" t="str">
        <x:v>Either</x:v>
      </x:c>
      <x:c r="D24" s="17" t="str">
        <x:v>No USB drive</x:v>
      </x:c>
    </x:row>
    <x:row r="25" ht="23" customHeight="1">
      <x:c r="A25" s="2" t="str">
        <x:v>S20</x:v>
      </x:c>
      <x:c r="B25" s="2" t="str">
        <x:v>Weekly</x:v>
      </x:c>
      <x:c r="C25" s="2" t="str">
        <x:v>Neither</x:v>
      </x:c>
      <x:c r="D25" s="2" t="str">
        <x:v>USB works</x:v>
      </x:c>
    </x:row>
    <x:row r="26" ht="23" customHeight="1">
      <x:c r="A26" s="17" t="str">
        <x:v>S21</x:v>
      </x:c>
      <x:c r="B26" s="17" t="str">
        <x:v>Monthly</x:v>
      </x:c>
      <x:c r="C26" s="17" t="str">
        <x:v>Assisted printing</x:v>
      </x:c>
      <x:c r="D26" s="17" t="str">
        <x:v>USB works</x:v>
      </x:c>
    </x:row>
    <x:row r="27" ht="23" customHeight="1">
      <x:c r="A27" s="2" t="str">
        <x:v>S22</x:v>
      </x:c>
      <x:c r="B27" s="2" t="str">
        <x:v>Weekly</x:v>
      </x:c>
      <x:c r="C27" s="2" t="str">
        <x:v>Either</x:v>
      </x:c>
      <x:c r="D27" s="2" t="str">
        <x:v>USB works</x:v>
      </x:c>
    </x:row>
    <x:row r="28" ht="23" customHeight="1">
      <x:c r="A28" s="17" t="str">
        <x:v>S23</x:v>
      </x:c>
      <x:c r="B28" s="17" t="str">
        <x:v>Rarely</x:v>
      </x:c>
      <x:c r="C28" s="17" t="str">
        <x:v>Self-service instructions</x:v>
      </x:c>
      <x:c r="D28" s="17" t="str">
        <x:v>USB works</x:v>
      </x:c>
    </x:row>
    <x:row r="29" ht="23" customHeight="1">
      <x:c r="A29" s="2" t="str">
        <x:v>S24</x:v>
      </x:c>
      <x:c r="B29" s="2" t="str">
        <x:v>Monthly</x:v>
      </x:c>
      <x:c r="C29" s="2" t="str">
        <x:v>Neither</x:v>
      </x:c>
      <x:c r="D29" s="2" t="str">
        <x:v>USB works</x:v>
      </x:c>
    </x:row>
    <x:row r="30" ht="23" customHeight="1">
      <x:c r="A30" s="17" t="str">
        <x:v>S25</x:v>
      </x:c>
      <x:c r="B30" s="17" t="str">
        <x:v>Weekly</x:v>
      </x:c>
      <x:c r="C30" s="17" t="str">
        <x:v>Either</x:v>
      </x:c>
      <x:c r="D30" s="17" t="str">
        <x:v>USB works</x:v>
      </x:c>
    </x:row>
    <x:row r="31" ht="23" customHeight="1">
      <x:c r="A31" s="2" t="str">
        <x:v>S26</x:v>
      </x:c>
      <x:c r="B31" s="2" t="str">
        <x:v>Daily</x:v>
      </x:c>
      <x:c r="C31" s="2" t="str">
        <x:v>Neither</x:v>
      </x:c>
      <x:c r="D31" s="2" t="str">
        <x:v>USB works</x:v>
      </x:c>
    </x:row>
    <x:row r="32" ht="23" customHeight="1">
      <x:c r="A32" s="17" t="str">
        <x:v>S27</x:v>
      </x:c>
      <x:c r="B32" s="17" t="str">
        <x:v>Monthly</x:v>
      </x:c>
      <x:c r="C32" s="17" t="str">
        <x:v>Assisted printing</x:v>
      </x:c>
      <x:c r="D32" s="17" t="str">
        <x:v>USB works</x:v>
      </x:c>
    </x:row>
    <x:row r="33" ht="23" customHeight="1">
      <x:c r="A33" s="2" t="str">
        <x:v>S28</x:v>
      </x:c>
      <x:c r="B33" s="2" t="str">
        <x:v>Weekly</x:v>
      </x:c>
      <x:c r="C33" s="2" t="str">
        <x:v>Assisted printing</x:v>
      </x:c>
      <x:c r="D33" s="2" t="str">
        <x:v>USB works</x:v>
      </x:c>
    </x:row>
    <x:row r="34" ht="23" customHeight="1">
      <x:c r="A34" s="17" t="str">
        <x:v>S29</x:v>
      </x:c>
      <x:c r="B34" s="17" t="str">
        <x:v>Rarely</x:v>
      </x:c>
      <x:c r="C34" s="17" t="str">
        <x:v>Self-service instructions</x:v>
      </x:c>
      <x:c r="D34" s="17" t="str">
        <x:v>USB works</x:v>
      </x:c>
    </x:row>
    <x:row r="35" ht="23" customHeight="1">
      <x:c r="A35" s="2" t="str">
        <x:v>S30</x:v>
      </x:c>
      <x:c r="B35" s="2" t="str">
        <x:v>Never</x:v>
      </x:c>
      <x:c r="C35" s="2" t="str">
        <x:v>Neither</x:v>
      </x:c>
      <x:c r="D35" s="2" t="str">
        <x:v>USB works</x:v>
      </x:c>
    </x:row>
    <x:row r="36" ht="23" customHeight="1">
      <x:c r="A36" s="17" t="str">
        <x:v>S31</x:v>
      </x:c>
      <x:c r="B36" s="17" t="str">
        <x:v>Weekly</x:v>
      </x:c>
      <x:c r="C36" s="17" t="str">
        <x:v>Either</x:v>
      </x:c>
      <x:c r="D36" s="17" t="str">
        <x:v>USB works</x:v>
      </x:c>
    </x:row>
    <x:row r="37" ht="23" customHeight="1">
      <x:c r="A37" s="2" t="str">
        <x:v>S32</x:v>
      </x:c>
      <x:c r="B37" s="2" t="str">
        <x:v>Monthly</x:v>
      </x:c>
      <x:c r="C37" s="2" t="str">
        <x:v>Self-service instructions</x:v>
      </x:c>
      <x:c r="D37" s="2" t="str">
        <x:v>USB works</x:v>
      </x:c>
    </x:row>
    <x:row r="38" ht="23" customHeight="1">
      <x:c r="A38" s="17" t="str">
        <x:v>S33</x:v>
      </x:c>
      <x:c r="B38" s="17" t="str">
        <x:v>Weekly</x:v>
      </x:c>
      <x:c r="C38" s="17" t="str">
        <x:v>Neither</x:v>
      </x:c>
      <x:c r="D38" s="17" t="str">
        <x:v>USB works</x:v>
      </x:c>
    </x:row>
    <x:row r="39" ht="23" customHeight="1">
      <x:c r="A39" s="2" t="str">
        <x:v>S34</x:v>
      </x:c>
      <x:c r="B39" s="2" t="str">
        <x:v>Monthly</x:v>
      </x:c>
      <x:c r="C39" s="2" t="str">
        <x:v>Assisted printing</x:v>
      </x:c>
      <x:c r="D39" s="2" t="str">
        <x:v>No USB drive</x:v>
      </x:c>
    </x:row>
    <x:row r="40" ht="23" customHeight="1">
      <x:c r="A40" s="17" t="str">
        <x:v>S35</x:v>
      </x:c>
      <x:c r="B40" s="17" t="str">
        <x:v>Rarely</x:v>
      </x:c>
      <x:c r="C40" s="17" t="str">
        <x:v>Either</x:v>
      </x:c>
      <x:c r="D40" s="17" t="str">
        <x:v>USB works</x:v>
      </x:c>
    </x:row>
    <x:row r="41" ht="23" customHeight="1">
      <x:c r="A41" s="2" t="str">
        <x:v>S36</x:v>
      </x:c>
      <x:c r="B41" s="2" t="str">
        <x:v>Weekly</x:v>
      </x:c>
      <x:c r="C41" s="2" t="str">
        <x:v>Self-service instructions</x:v>
      </x:c>
      <x:c r="D41" s="2" t="str">
        <x:v>USB works</x:v>
      </x:c>
    </x:row>
    <x:row r="42" ht="23" customHeight="1">
      <x:c r="A42" s="17" t="str">
        <x:v>S37</x:v>
      </x:c>
      <x:c r="B42" s="17" t="str">
        <x:v>Daily</x:v>
      </x:c>
      <x:c r="C42" s="17" t="str">
        <x:v>Neither</x:v>
      </x:c>
      <x:c r="D42" s="17" t="str">
        <x:v>USB works</x:v>
      </x:c>
    </x:row>
    <x:row r="43" ht="23" customHeight="1">
      <x:c r="A43" s="2" t="str">
        <x:v>S38</x:v>
      </x:c>
      <x:c r="B43" s="2" t="str">
        <x:v>Monthly</x:v>
      </x:c>
      <x:c r="C43" s="2" t="str">
        <x:v>Assisted printing</x:v>
      </x:c>
      <x:c r="D43" s="2" t="str">
        <x:v>USB works</x:v>
      </x:c>
    </x:row>
    <x:row r="44" ht="23" customHeight="1">
      <x:c r="A44" s="17" t="str">
        <x:v>S39</x:v>
      </x:c>
      <x:c r="B44" s="17" t="str">
        <x:v>Weekly</x:v>
      </x:c>
      <x:c r="C44" s="17" t="str">
        <x:v>Assisted printing</x:v>
      </x:c>
      <x:c r="D44" s="17" t="str">
        <x:v>USB works</x:v>
      </x:c>
    </x:row>
    <x:row r="45" ht="23" customHeight="1">
      <x:c r="A45" s="2" t="str">
        <x:v>S40</x:v>
      </x:c>
      <x:c r="B45" s="2" t="str">
        <x:v>Rarely</x:v>
      </x:c>
      <x:c r="C45" s="2" t="str">
        <x:v>Either</x:v>
      </x:c>
      <x:c r="D45" s="2" t="str">
        <x:v>No USB drive</x:v>
      </x:c>
    </x:row>
    <x:row r="46" ht="23" customHeight="1">
      <x:c r="A46" s="17" t="str">
        <x:v>S41</x:v>
      </x:c>
      <x:c r="B46" s="17" t="str">
        <x:v>Monthly</x:v>
      </x:c>
      <x:c r="C46" s="17" t="str">
        <x:v>Self-service instructions</x:v>
      </x:c>
      <x:c r="D46" s="17" t="str">
        <x:v>USB works</x:v>
      </x:c>
    </x:row>
    <x:row r="47" ht="23" customHeight="1">
      <x:c r="A47" s="2" t="str">
        <x:v>S42</x:v>
      </x:c>
      <x:c r="B47" s="2" t="str">
        <x:v>Weekly</x:v>
      </x:c>
      <x:c r="C47" s="2" t="str">
        <x:v>Self-service instructions</x:v>
      </x:c>
      <x:c r="D47" s="2" t="str">
        <x:v>Prefers not to hand over USB</x:v>
      </x:c>
    </x:row>
    <x:row r="48" ht="23" customHeight="1">
      <x:c r="A48" s="17" t="str">
        <x:v>S43</x:v>
      </x:c>
      <x:c r="B48" s="17" t="str">
        <x:v>Monthly</x:v>
      </x:c>
      <x:c r="C48" s="17" t="str">
        <x:v>Assisted printing</x:v>
      </x:c>
      <x:c r="D48" s="17" t="str">
        <x:v>USB works</x:v>
      </x:c>
    </x:row>
    <x:row r="49" ht="23" customHeight="1">
      <x:c r="A49" s="2" t="str">
        <x:v>S44</x:v>
      </x:c>
      <x:c r="B49" s="2" t="str">
        <x:v>Weekly</x:v>
      </x:c>
      <x:c r="C49" s="2" t="str">
        <x:v>Neither</x:v>
      </x:c>
      <x:c r="D49" s="2" t="str">
        <x:v>USB works</x:v>
      </x:c>
    </x:row>
    <x:row r="50" ht="23" customHeight="1">
      <x:c r="A50" s="17" t="str">
        <x:v>S45</x:v>
      </x:c>
      <x:c r="B50" s="17" t="str">
        <x:v>Rarely</x:v>
      </x:c>
      <x:c r="C50" s="17" t="str">
        <x:v>Self-service instructions</x:v>
      </x:c>
      <x:c r="D50" s="17" t="str">
        <x:v>USB works</x:v>
      </x:c>
    </x:row>
    <x:row r="51" ht="23" customHeight="1">
      <x:c r="A51" s="2" t="str">
        <x:v>S46</x:v>
      </x:c>
      <x:c r="B51" s="2" t="str">
        <x:v>Monthly</x:v>
      </x:c>
      <x:c r="C51" s="2" t="str">
        <x:v>Either</x:v>
      </x:c>
      <x:c r="D51" s="2" t="str">
        <x:v>USB works</x:v>
      </x:c>
    </x:row>
    <x:row r="52" ht="23" customHeight="1">
      <x:c r="A52" s="17" t="str">
        <x:v>S47</x:v>
      </x:c>
      <x:c r="B52" s="17" t="str">
        <x:v>Weekly</x:v>
      </x:c>
      <x:c r="C52" s="17" t="str">
        <x:v>Assisted printing</x:v>
      </x:c>
      <x:c r="D52" s="17" t="str">
        <x:v>USB works</x:v>
      </x:c>
    </x:row>
    <x:row r="53" ht="23" customHeight="1">
      <x:c r="A53" s="2" t="str">
        <x:v>S48</x:v>
      </x:c>
      <x:c r="B53" s="2" t="str">
        <x:v>Monthly</x:v>
      </x:c>
      <x:c r="C53" s="2" t="str">
        <x:v>Neither</x:v>
      </x:c>
      <x:c r="D53" s="2" t="str">
        <x:v>USB works</x:v>
      </x:c>
    </x:row>
    <x:row r="54" ht="23" customHeight="1">
      <x:c r="A54" s="17" t="str">
        <x:v>S49</x:v>
      </x:c>
      <x:c r="B54" s="17" t="str">
        <x:v>Rarely</x:v>
      </x:c>
      <x:c r="C54" s="17" t="str">
        <x:v>Either</x:v>
      </x:c>
      <x:c r="D54" s="17" t="str">
        <x:v>No USB drive</x:v>
      </x:c>
    </x:row>
    <x:row r="55" ht="23" customHeight="1">
      <x:c r="A55" s="2" t="str">
        <x:v>S50</x:v>
      </x:c>
      <x:c r="B55" s="2" t="str">
        <x:v>Weekly</x:v>
      </x:c>
      <x:c r="C55" s="2" t="str">
        <x:v>Self-service instructions</x:v>
      </x:c>
      <x:c r="D55" s="2" t="str">
        <x:v>USB works</x:v>
      </x:c>
    </x:row>
    <x:row r="56" ht="23" customHeight="1">
      <x:c r="A56" s="17" t="str">
        <x:v>S51</x:v>
      </x:c>
      <x:c r="B56" s="17" t="str">
        <x:v>Monthly</x:v>
      </x:c>
      <x:c r="C56" s="17" t="str">
        <x:v>Assisted printing</x:v>
      </x:c>
      <x:c r="D56" s="17" t="str">
        <x:v>USB works</x:v>
      </x:c>
    </x:row>
    <x:row r="57" ht="23" customHeight="1">
      <x:c r="A57" s="2" t="str">
        <x:v>S52</x:v>
      </x:c>
      <x:c r="B57" s="2" t="str">
        <x:v>Weekly</x:v>
      </x:c>
      <x:c r="C57" s="2" t="str">
        <x:v>Either</x:v>
      </x:c>
      <x:c r="D57" s="2" t="str">
        <x:v>USB works</x:v>
      </x:c>
    </x:row>
    <x:row r="58" ht="23" customHeight="1">
      <x:c r="A58" s="17" t="str">
        <x:v>S53</x:v>
      </x:c>
      <x:c r="B58" s="17" t="str">
        <x:v>Rarely</x:v>
      </x:c>
      <x:c r="C58" s="17" t="str">
        <x:v>Assisted printing</x:v>
      </x:c>
      <x:c r="D58" s="17" t="str">
        <x:v>USB works</x:v>
      </x:c>
    </x:row>
    <x:row r="59" ht="23" customHeight="1">
      <x:c r="A59" s="2" t="str">
        <x:v>S54</x:v>
      </x:c>
      <x:c r="B59" s="2" t="str">
        <x:v>Monthly</x:v>
      </x:c>
      <x:c r="C59" s="2" t="str">
        <x:v>Neither</x:v>
      </x:c>
      <x:c r="D59" s="2" t="str">
        <x:v>USB works</x:v>
      </x:c>
    </x:row>
    <x:row r="60" ht="23" customHeight="1">
      <x:c r="A60" s="17" t="str">
        <x:v>S55</x:v>
      </x:c>
      <x:c r="B60" s="17" t="str">
        <x:v>Weekly</x:v>
      </x:c>
      <x:c r="C60" s="17" t="str">
        <x:v>Self-service instructions</x:v>
      </x:c>
      <x:c r="D60" s="17" t="str">
        <x:v>USB works</x:v>
      </x:c>
    </x:row>
  </x:sheetData>
  <x:pageMargins left="0.7" right="0.7" top="0.75" bottom="0.75" header="0.3" footer="0.3"/>
</x:worksheet>
</file>